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869\Documents\"/>
    </mc:Choice>
  </mc:AlternateContent>
  <xr:revisionPtr revIDLastSave="0" documentId="13_ncr:1_{883C1D8F-A4D6-4E92-9B9F-BD5F080B3C69}" xr6:coauthVersionLast="36" xr6:coauthVersionMax="36" xr10:uidLastSave="{00000000-0000-0000-0000-000000000000}"/>
  <bookViews>
    <workbookView xWindow="0" yWindow="0" windowWidth="28800" windowHeight="11775" xr2:uid="{B06CC057-FC51-4DA0-833C-D6335ED17E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D16" i="1"/>
  <c r="E13" i="1"/>
  <c r="D13" i="1"/>
  <c r="E10" i="1"/>
  <c r="D10" i="1"/>
  <c r="E7" i="1"/>
  <c r="D7" i="1"/>
  <c r="E4" i="1"/>
  <c r="D4" i="1"/>
</calcChain>
</file>

<file path=xl/sharedStrings.xml><?xml version="1.0" encoding="utf-8"?>
<sst xmlns="http://schemas.openxmlformats.org/spreadsheetml/2006/main" count="50" uniqueCount="18">
  <si>
    <t>Projeto</t>
  </si>
  <si>
    <t>Medida</t>
  </si>
  <si>
    <t>Planejado</t>
  </si>
  <si>
    <t>Fisico</t>
  </si>
  <si>
    <t>Financeiro</t>
  </si>
  <si>
    <t>Número de unidades habitacionais entregues e contratadas pelo poder público</t>
  </si>
  <si>
    <t>Categoria</t>
  </si>
  <si>
    <t>Realizado Percentual</t>
  </si>
  <si>
    <t>Realizado Absoluto</t>
  </si>
  <si>
    <t xml:space="preserve">3340 - Programa Pode Entrar; 3354 - Construção de Unidades Habitacionais; 3361 - Parceria Público Privada Habitação; 1276 - Projeções e Ações de Apoio Habitacional </t>
  </si>
  <si>
    <t>3356 - Regularização Fundiária; 9192/ 9289/9207 - Programa Lote Urbanizado.</t>
  </si>
  <si>
    <t>Número de famílias beneficiadas por procedimentos de regularização fundiária em assentamentos precários e conjuntos habitacionais</t>
  </si>
  <si>
    <t>3357 - Urbanização de Favelas</t>
  </si>
  <si>
    <t>3358 - Locação Social</t>
  </si>
  <si>
    <t>2635 - Serviço de moradia transitória</t>
  </si>
  <si>
    <t>Número de Auxílios Aluguéis concedidos a famílias por ano</t>
  </si>
  <si>
    <t>Número de unidades habitacionais em viabilização destinadas ao Programa de Locação Social</t>
  </si>
  <si>
    <t>Número de famílias beneficiadas com obras de urbanização de assentamentos precários fora de manancial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</si>
</sst>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3" fontId="0" fillId="0" borderId="0" xfId="0" applyNumberFormat="1"/>
    <xf numFmtId="44" fontId="0" fillId="0" borderId="0" xfId="1" applyFont="1"/>
    <xf numFmtId="4" fontId="0" fillId="0" borderId="0" xfId="0" applyNumberFormat="1"/>
  </cellXfs>
  <cellStyles count="2">
    <cellStyle name="Moeda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8C63-4ACE-4B8D-9767-E5150FB68ABA}">
  <dimension ref="A1:E16"/>
  <sheetViews>
    <sheetView tabSelected="1" workbookViewId="0">
      <selection activeCell="F1" sqref="F1:G1048576"/>
    </sheetView>
  </sheetViews>
  <sheetFormatPr defaultRowHeight="15" x14ac:dyDescent="0.25"/>
  <cols>
    <col min="1" max="1" width="69.85546875" style="1" bestFit="1" customWidth="1"/>
    <col min="2" max="2" width="43.42578125" style="1" customWidth="1"/>
    <col min="3" max="3" width="19.85546875" bestFit="1" customWidth="1"/>
    <col min="4" max="4" width="16.5703125" bestFit="1" customWidth="1"/>
    <col min="5" max="5" width="19.5703125" style="4" bestFit="1" customWidth="1"/>
  </cols>
  <sheetData>
    <row r="1" spans="1:5" x14ac:dyDescent="0.25">
      <c r="A1" s="1" t="s">
        <v>0</v>
      </c>
      <c r="B1" s="1" t="s">
        <v>1</v>
      </c>
      <c r="C1" t="s">
        <v>6</v>
      </c>
      <c r="D1" t="s">
        <v>3</v>
      </c>
      <c r="E1" s="4" t="s">
        <v>4</v>
      </c>
    </row>
    <row r="2" spans="1:5" ht="45" x14ac:dyDescent="0.25">
      <c r="A2" s="1" t="s">
        <v>9</v>
      </c>
      <c r="B2" s="1" t="s">
        <v>5</v>
      </c>
      <c r="C2" t="s">
        <v>2</v>
      </c>
      <c r="D2" s="3">
        <v>49187</v>
      </c>
      <c r="E2" s="4">
        <v>6775635320</v>
      </c>
    </row>
    <row r="3" spans="1:5" ht="45" x14ac:dyDescent="0.25">
      <c r="A3" s="1" t="s">
        <v>9</v>
      </c>
      <c r="B3" s="1" t="s">
        <v>5</v>
      </c>
      <c r="C3" t="s">
        <v>7</v>
      </c>
      <c r="D3">
        <v>86.69</v>
      </c>
      <c r="E3">
        <v>71.8</v>
      </c>
    </row>
    <row r="4" spans="1:5" ht="45" x14ac:dyDescent="0.25">
      <c r="A4" s="1" t="s">
        <v>9</v>
      </c>
      <c r="B4" s="1" t="s">
        <v>5</v>
      </c>
      <c r="C4" t="s">
        <v>8</v>
      </c>
      <c r="D4" s="2">
        <f>D2*D3/100</f>
        <v>42640.210300000006</v>
      </c>
      <c r="E4" s="4">
        <f>E2*E3/100</f>
        <v>4864906159.7600002</v>
      </c>
    </row>
    <row r="5" spans="1:5" ht="60" x14ac:dyDescent="0.25">
      <c r="A5" t="s">
        <v>10</v>
      </c>
      <c r="B5" s="1" t="s">
        <v>11</v>
      </c>
      <c r="C5" t="s">
        <v>2</v>
      </c>
      <c r="D5" s="3">
        <v>220000</v>
      </c>
      <c r="E5" s="4">
        <v>232829181</v>
      </c>
    </row>
    <row r="6" spans="1:5" ht="60" x14ac:dyDescent="0.25">
      <c r="A6" t="s">
        <v>10</v>
      </c>
      <c r="B6" s="1" t="s">
        <v>11</v>
      </c>
      <c r="C6" t="s">
        <v>7</v>
      </c>
      <c r="D6">
        <v>98.56</v>
      </c>
      <c r="E6">
        <v>153.07</v>
      </c>
    </row>
    <row r="7" spans="1:5" ht="60" x14ac:dyDescent="0.25">
      <c r="A7" t="s">
        <v>10</v>
      </c>
      <c r="B7" s="1" t="s">
        <v>11</v>
      </c>
      <c r="C7" t="s">
        <v>8</v>
      </c>
      <c r="D7">
        <f>D5*D6/100</f>
        <v>216832</v>
      </c>
      <c r="E7" s="4">
        <f>E5*E6/100</f>
        <v>356391627.3567</v>
      </c>
    </row>
    <row r="8" spans="1:5" ht="45" x14ac:dyDescent="0.25">
      <c r="A8" t="s">
        <v>12</v>
      </c>
      <c r="B8" s="1" t="s">
        <v>17</v>
      </c>
      <c r="C8" t="s">
        <v>2</v>
      </c>
      <c r="D8" s="3">
        <v>16100</v>
      </c>
      <c r="E8" s="4">
        <v>233851768</v>
      </c>
    </row>
    <row r="9" spans="1:5" ht="45" x14ac:dyDescent="0.25">
      <c r="A9" t="s">
        <v>12</v>
      </c>
      <c r="B9" s="1" t="s">
        <v>17</v>
      </c>
      <c r="C9" t="s">
        <v>7</v>
      </c>
      <c r="D9">
        <v>52.79</v>
      </c>
      <c r="E9">
        <v>180.76</v>
      </c>
    </row>
    <row r="10" spans="1:5" ht="45" x14ac:dyDescent="0.25">
      <c r="A10" t="s">
        <v>12</v>
      </c>
      <c r="B10" s="1" t="s">
        <v>17</v>
      </c>
      <c r="C10" t="s">
        <v>8</v>
      </c>
      <c r="D10" s="2">
        <f>D8*D9/100</f>
        <v>8499.19</v>
      </c>
      <c r="E10" s="4">
        <f>E8*E9/100</f>
        <v>422710455.83679998</v>
      </c>
    </row>
    <row r="11" spans="1:5" ht="45" x14ac:dyDescent="0.25">
      <c r="A11" t="s">
        <v>13</v>
      </c>
      <c r="B11" s="1" t="s">
        <v>16</v>
      </c>
      <c r="C11" t="s">
        <v>2</v>
      </c>
      <c r="D11" s="3">
        <v>2200</v>
      </c>
      <c r="E11" s="5">
        <v>21889455</v>
      </c>
    </row>
    <row r="12" spans="1:5" ht="45" x14ac:dyDescent="0.25">
      <c r="A12" t="s">
        <v>13</v>
      </c>
      <c r="B12" s="1" t="s">
        <v>16</v>
      </c>
      <c r="C12" t="s">
        <v>7</v>
      </c>
      <c r="D12">
        <v>265.91000000000003</v>
      </c>
      <c r="E12">
        <v>24.82</v>
      </c>
    </row>
    <row r="13" spans="1:5" ht="45" x14ac:dyDescent="0.25">
      <c r="A13" t="s">
        <v>13</v>
      </c>
      <c r="B13" s="1" t="s">
        <v>16</v>
      </c>
      <c r="C13" t="s">
        <v>8</v>
      </c>
      <c r="D13" s="2">
        <f>D11*D12/100</f>
        <v>5850.02</v>
      </c>
      <c r="E13" s="4">
        <f>E11*E12/100</f>
        <v>5432962.7310000006</v>
      </c>
    </row>
    <row r="14" spans="1:5" ht="30" x14ac:dyDescent="0.25">
      <c r="A14" t="s">
        <v>14</v>
      </c>
      <c r="B14" s="1" t="s">
        <v>15</v>
      </c>
      <c r="C14" t="s">
        <v>2</v>
      </c>
      <c r="D14" s="3">
        <v>88312</v>
      </c>
      <c r="E14" s="4">
        <v>421937705</v>
      </c>
    </row>
    <row r="15" spans="1:5" ht="30" x14ac:dyDescent="0.25">
      <c r="A15" t="s">
        <v>14</v>
      </c>
      <c r="B15" s="1" t="s">
        <v>15</v>
      </c>
      <c r="C15" t="s">
        <v>7</v>
      </c>
      <c r="D15">
        <v>78.42</v>
      </c>
      <c r="E15">
        <v>92.88</v>
      </c>
    </row>
    <row r="16" spans="1:5" ht="30" x14ac:dyDescent="0.25">
      <c r="A16" t="s">
        <v>14</v>
      </c>
      <c r="B16" s="1" t="s">
        <v>15</v>
      </c>
      <c r="C16" t="s">
        <v>8</v>
      </c>
      <c r="D16" s="2">
        <f>D14*D15/100</f>
        <v>69254.270399999994</v>
      </c>
      <c r="E16" s="4">
        <f>E14*E15/100</f>
        <v>391895740.40400004</v>
      </c>
    </row>
  </sheetData>
  <conditionalFormatting sqref="C2:C3">
    <cfRule type="duplicateValues" dxfId="4" priority="6"/>
  </conditionalFormatting>
  <conditionalFormatting sqref="C5:C6">
    <cfRule type="duplicateValues" dxfId="3" priority="4"/>
  </conditionalFormatting>
  <conditionalFormatting sqref="C8:C9">
    <cfRule type="duplicateValues" dxfId="2" priority="3"/>
  </conditionalFormatting>
  <conditionalFormatting sqref="C11:C12">
    <cfRule type="duplicateValues" dxfId="1" priority="2"/>
  </conditionalFormatting>
  <conditionalFormatting sqref="C14:C1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Bezerra</dc:creator>
  <cp:lastModifiedBy>Rafael Bezerra</cp:lastModifiedBy>
  <dcterms:created xsi:type="dcterms:W3CDTF">2025-08-18T14:59:43Z</dcterms:created>
  <dcterms:modified xsi:type="dcterms:W3CDTF">2025-11-10T14:53:28Z</dcterms:modified>
</cp:coreProperties>
</file>